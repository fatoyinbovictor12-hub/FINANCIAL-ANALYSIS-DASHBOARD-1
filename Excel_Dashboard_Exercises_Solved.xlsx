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ales_Summary" sheetId="2" state="visible" r:id="rId2"/>
    <sheet xmlns:r="http://schemas.openxmlformats.org/officeDocument/2006/relationships" name="Sales_Dashboard" sheetId="3" state="visible" r:id="rId3"/>
    <sheet xmlns:r="http://schemas.openxmlformats.org/officeDocument/2006/relationships" name="Student_Template" sheetId="4" state="visible" r:id="rId4"/>
    <sheet xmlns:r="http://schemas.openxmlformats.org/officeDocument/2006/relationships" name="Student_Dashboard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  <color rgb="00FFFFFF"/>
      <sz val="2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 vertical="center"/>
    </xf>
    <xf numFmtId="1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'Sales_Summary'!B4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'Sales_Summary'!$A$5:$A$10</f>
            </numRef>
          </cat>
          <val>
            <numRef>
              <f>'Sales_Summary'!$B$5:$B$10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'Sales_Summary'!$A$14:$A$16</f>
            </numRef>
          </cat>
          <val>
            <numRef>
              <f>'Sales_Summary'!$B$14:$B$16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'Sales_Summary'!$E$5:$E$7</f>
            </numRef>
          </cat>
          <val>
            <numRef>
              <f>'Sales_Summary'!$F$5:$F$7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Contribution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'Sales_Summary'!B13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'Sales_Summary'!$A$14:$A$16</f>
            </numRef>
          </cat>
          <val>
            <numRef>
              <f>'Sales_Summary'!$B$14:$B$16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25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F19" headerRowCount="1">
  <autoFilter ref="A1:F19"/>
  <tableColumns count="6">
    <tableColumn id="1" name="Month"/>
    <tableColumn id="2" name="Region"/>
    <tableColumn id="3" name="Product"/>
    <tableColumn id="4" name="Salesperson"/>
    <tableColumn id="5" name="Quantity"/>
    <tableColumn id="6" name="Sales Amount"/>
  </tableColumns>
  <tableStyleInfo name="TableStyleMedium2" showRowStripes="1"/>
</table>
</file>

<file path=xl/tables/table2.xml><?xml version="1.0" encoding="utf-8"?>
<table xmlns="http://schemas.openxmlformats.org/spreadsheetml/2006/main" id="2" name="StudentTable" displayName="StudentTable" ref="A6:H31" headerRowCount="1">
  <autoFilter ref="A6:H31"/>
  <tableColumns count="8">
    <tableColumn id="1" name="Student"/>
    <tableColumn id="2" name="Class"/>
    <tableColumn id="3" name="Gender"/>
    <tableColumn id="4" name="Mathematics"/>
    <tableColumn id="5" name="English"/>
    <tableColumn id="6" name="Statistics"/>
    <tableColumn id="7" name="Average Score"/>
    <tableColumn id="8" name="Performance Gra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5" customWidth="1" min="4" max="4"/>
    <col width="12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Salesperson</t>
        </is>
      </c>
      <c r="E1" s="1" t="inlineStr">
        <is>
          <t>Quantity</t>
        </is>
      </c>
      <c r="F1" s="1" t="inlineStr">
        <is>
          <t>Sales Amount</t>
        </is>
      </c>
    </row>
    <row r="2">
      <c r="A2" t="inlineStr">
        <is>
          <t>January</t>
        </is>
      </c>
      <c r="B2" t="inlineStr">
        <is>
          <t>Lagos</t>
        </is>
      </c>
      <c r="C2" t="inlineStr">
        <is>
          <t>Laptop</t>
        </is>
      </c>
      <c r="D2" t="inlineStr">
        <is>
          <t>Amina</t>
        </is>
      </c>
      <c r="E2" t="n">
        <v>12</v>
      </c>
      <c r="F2" s="2" t="n">
        <v>2400000</v>
      </c>
    </row>
    <row r="3">
      <c r="A3" t="inlineStr">
        <is>
          <t>January</t>
        </is>
      </c>
      <c r="B3" t="inlineStr">
        <is>
          <t>Abuja</t>
        </is>
      </c>
      <c r="C3" t="inlineStr">
        <is>
          <t>Printer</t>
        </is>
      </c>
      <c r="D3" t="inlineStr">
        <is>
          <t>Chika</t>
        </is>
      </c>
      <c r="E3" t="n">
        <v>15</v>
      </c>
      <c r="F3" s="2" t="n">
        <v>960000</v>
      </c>
    </row>
    <row r="4">
      <c r="A4" t="inlineStr">
        <is>
          <t>January</t>
        </is>
      </c>
      <c r="B4" t="inlineStr">
        <is>
          <t>Port Harcourt</t>
        </is>
      </c>
      <c r="C4" t="inlineStr">
        <is>
          <t>Phone</t>
        </is>
      </c>
      <c r="D4" t="inlineStr">
        <is>
          <t>Amina</t>
        </is>
      </c>
      <c r="E4" t="n">
        <v>18</v>
      </c>
      <c r="F4" s="2" t="n">
        <v>1800000</v>
      </c>
    </row>
    <row r="5">
      <c r="A5" t="inlineStr">
        <is>
          <t>February</t>
        </is>
      </c>
      <c r="B5" t="inlineStr">
        <is>
          <t>Lagos</t>
        </is>
      </c>
      <c r="C5" t="inlineStr">
        <is>
          <t>Phone</t>
        </is>
      </c>
      <c r="D5" t="inlineStr">
        <is>
          <t>Musa</t>
        </is>
      </c>
      <c r="E5" t="n">
        <v>18</v>
      </c>
      <c r="F5" s="2" t="n">
        <v>2160000</v>
      </c>
    </row>
    <row r="6">
      <c r="A6" t="inlineStr">
        <is>
          <t>February</t>
        </is>
      </c>
      <c r="B6" t="inlineStr">
        <is>
          <t>Abuja</t>
        </is>
      </c>
      <c r="C6" t="inlineStr">
        <is>
          <t>Laptop</t>
        </is>
      </c>
      <c r="D6" t="inlineStr">
        <is>
          <t>Chika</t>
        </is>
      </c>
      <c r="E6" t="n">
        <v>10</v>
      </c>
      <c r="F6" s="2" t="n">
        <v>2000000</v>
      </c>
    </row>
    <row r="7">
      <c r="A7" t="inlineStr">
        <is>
          <t>February</t>
        </is>
      </c>
      <c r="B7" t="inlineStr">
        <is>
          <t>Port Harcourt</t>
        </is>
      </c>
      <c r="C7" t="inlineStr">
        <is>
          <t>Printer</t>
        </is>
      </c>
      <c r="D7" t="inlineStr">
        <is>
          <t>Tunde</t>
        </is>
      </c>
      <c r="E7" t="n">
        <v>6</v>
      </c>
      <c r="F7" s="2" t="n">
        <v>720000</v>
      </c>
    </row>
    <row r="8">
      <c r="A8" t="inlineStr">
        <is>
          <t>March</t>
        </is>
      </c>
      <c r="B8" t="inlineStr">
        <is>
          <t>Lagos</t>
        </is>
      </c>
      <c r="C8" t="inlineStr">
        <is>
          <t>Printer</t>
        </is>
      </c>
      <c r="D8" t="inlineStr">
        <is>
          <t>David</t>
        </is>
      </c>
      <c r="E8" t="n">
        <v>9</v>
      </c>
      <c r="F8" s="2" t="n">
        <v>1800000</v>
      </c>
    </row>
    <row r="9">
      <c r="A9" t="inlineStr">
        <is>
          <t>March</t>
        </is>
      </c>
      <c r="B9" t="inlineStr">
        <is>
          <t>Abuja</t>
        </is>
      </c>
      <c r="C9" t="inlineStr">
        <is>
          <t>Phone</t>
        </is>
      </c>
      <c r="D9" t="inlineStr">
        <is>
          <t>David</t>
        </is>
      </c>
      <c r="E9" t="n">
        <v>20</v>
      </c>
      <c r="F9" s="2" t="n">
        <v>2400000</v>
      </c>
    </row>
    <row r="10">
      <c r="A10" t="inlineStr">
        <is>
          <t>March</t>
        </is>
      </c>
      <c r="B10" t="inlineStr">
        <is>
          <t>Port Harcourt</t>
        </is>
      </c>
      <c r="C10" t="inlineStr">
        <is>
          <t>Laptop</t>
        </is>
      </c>
      <c r="D10" t="inlineStr">
        <is>
          <t>Musa</t>
        </is>
      </c>
      <c r="E10" t="n">
        <v>7</v>
      </c>
      <c r="F10" s="2" t="n">
        <v>1400000</v>
      </c>
    </row>
    <row r="11">
      <c r="A11" t="inlineStr">
        <is>
          <t>April</t>
        </is>
      </c>
      <c r="B11" t="inlineStr">
        <is>
          <t>Lagos</t>
        </is>
      </c>
      <c r="C11" t="inlineStr">
        <is>
          <t>Laptop</t>
        </is>
      </c>
      <c r="D11" t="inlineStr">
        <is>
          <t>Amina</t>
        </is>
      </c>
      <c r="E11" t="n">
        <v>14</v>
      </c>
      <c r="F11" s="2" t="n">
        <v>2800000</v>
      </c>
    </row>
    <row r="12">
      <c r="A12" t="inlineStr">
        <is>
          <t>April</t>
        </is>
      </c>
      <c r="B12" t="inlineStr">
        <is>
          <t>Abuja</t>
        </is>
      </c>
      <c r="C12" t="inlineStr">
        <is>
          <t>Printer</t>
        </is>
      </c>
      <c r="D12" t="inlineStr">
        <is>
          <t>David</t>
        </is>
      </c>
      <c r="E12" t="n">
        <v>11</v>
      </c>
      <c r="F12" s="2" t="n">
        <v>1320000</v>
      </c>
    </row>
    <row r="13">
      <c r="A13" t="inlineStr">
        <is>
          <t>April</t>
        </is>
      </c>
      <c r="B13" t="inlineStr">
        <is>
          <t>Port Harcourt</t>
        </is>
      </c>
      <c r="C13" t="inlineStr">
        <is>
          <t>Phone</t>
        </is>
      </c>
      <c r="D13" t="inlineStr">
        <is>
          <t>Chika</t>
        </is>
      </c>
      <c r="E13" t="n">
        <v>16</v>
      </c>
      <c r="F13" s="2" t="n">
        <v>1920000</v>
      </c>
    </row>
    <row r="14">
      <c r="A14" t="inlineStr">
        <is>
          <t>May</t>
        </is>
      </c>
      <c r="B14" t="inlineStr">
        <is>
          <t>Lagos</t>
        </is>
      </c>
      <c r="C14" t="inlineStr">
        <is>
          <t>Phone</t>
        </is>
      </c>
      <c r="D14" t="inlineStr">
        <is>
          <t>Tunde</t>
        </is>
      </c>
      <c r="E14" t="n">
        <v>22</v>
      </c>
      <c r="F14" s="2" t="n">
        <v>2640000</v>
      </c>
    </row>
    <row r="15">
      <c r="A15" t="inlineStr">
        <is>
          <t>May</t>
        </is>
      </c>
      <c r="B15" t="inlineStr">
        <is>
          <t>Abuja</t>
        </is>
      </c>
      <c r="C15" t="inlineStr">
        <is>
          <t>Laptop</t>
        </is>
      </c>
      <c r="D15" t="inlineStr">
        <is>
          <t>Musa</t>
        </is>
      </c>
      <c r="E15" t="n">
        <v>9</v>
      </c>
      <c r="F15" s="2" t="n">
        <v>1800000</v>
      </c>
    </row>
    <row r="16">
      <c r="A16" t="inlineStr">
        <is>
          <t>May</t>
        </is>
      </c>
      <c r="B16" t="inlineStr">
        <is>
          <t>Port Harcourt</t>
        </is>
      </c>
      <c r="C16" t="inlineStr">
        <is>
          <t>Printer</t>
        </is>
      </c>
      <c r="D16" t="inlineStr">
        <is>
          <t>Chika</t>
        </is>
      </c>
      <c r="E16" t="n">
        <v>10</v>
      </c>
      <c r="F16" s="2" t="n">
        <v>1200000</v>
      </c>
    </row>
    <row r="17">
      <c r="A17" t="inlineStr">
        <is>
          <t>June</t>
        </is>
      </c>
      <c r="B17" t="inlineStr">
        <is>
          <t>Lagos</t>
        </is>
      </c>
      <c r="C17" t="inlineStr">
        <is>
          <t>Printer</t>
        </is>
      </c>
      <c r="D17" t="inlineStr">
        <is>
          <t>Amina</t>
        </is>
      </c>
      <c r="E17" t="n">
        <v>13</v>
      </c>
      <c r="F17" s="2" t="n">
        <v>1560000</v>
      </c>
    </row>
    <row r="18">
      <c r="A18" t="inlineStr">
        <is>
          <t>June</t>
        </is>
      </c>
      <c r="B18" t="inlineStr">
        <is>
          <t>Abuja</t>
        </is>
      </c>
      <c r="C18" t="inlineStr">
        <is>
          <t>Phone</t>
        </is>
      </c>
      <c r="D18" t="inlineStr">
        <is>
          <t>David</t>
        </is>
      </c>
      <c r="E18" t="n">
        <v>19</v>
      </c>
      <c r="F18" s="2" t="n">
        <v>2280000</v>
      </c>
    </row>
    <row r="19">
      <c r="A19" t="inlineStr">
        <is>
          <t>June</t>
        </is>
      </c>
      <c r="B19" t="inlineStr">
        <is>
          <t>Port Harcourt</t>
        </is>
      </c>
      <c r="C19" t="inlineStr">
        <is>
          <t>Laptop</t>
        </is>
      </c>
      <c r="D19" t="inlineStr">
        <is>
          <t>Musa</t>
        </is>
      </c>
      <c r="E19" t="n">
        <v>8</v>
      </c>
      <c r="F19" s="2" t="n">
        <v>1600000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4" customWidth="1" min="4" max="4"/>
    <col width="22" customWidth="1" min="5" max="5"/>
    <col width="20" customWidth="1" min="6" max="6"/>
  </cols>
  <sheetData>
    <row r="1">
      <c r="A1" s="3" t="inlineStr">
        <is>
          <t>SALES PERFORMANCE SUMMARY</t>
        </is>
      </c>
    </row>
    <row r="3">
      <c r="A3" s="4" t="inlineStr">
        <is>
          <t>Total Sales by Month</t>
        </is>
      </c>
      <c r="E3" s="4" t="inlineStr">
        <is>
          <t>Total Sales by Region</t>
        </is>
      </c>
    </row>
    <row r="4">
      <c r="A4" t="inlineStr">
        <is>
          <t>Month</t>
        </is>
      </c>
      <c r="B4" t="inlineStr">
        <is>
          <t>Total Sales</t>
        </is>
      </c>
      <c r="C4" t="inlineStr">
        <is>
          <t>Verified</t>
        </is>
      </c>
      <c r="E4" t="inlineStr">
        <is>
          <t>Region</t>
        </is>
      </c>
      <c r="F4" t="inlineStr">
        <is>
          <t>Total Sales</t>
        </is>
      </c>
    </row>
    <row r="5">
      <c r="A5" t="inlineStr">
        <is>
          <t>January</t>
        </is>
      </c>
      <c r="B5" s="2">
        <f>SUMIF(SalesTable[Month],A5,SalesTable[Sales Amount])</f>
        <v/>
      </c>
      <c r="C5" s="2" t="n">
        <v>5160000</v>
      </c>
      <c r="E5" t="inlineStr">
        <is>
          <t>Lagos</t>
        </is>
      </c>
      <c r="F5" s="2">
        <f>SUMIF(SalesTable[Region],E5,SalesTable[Sales Amount])</f>
        <v/>
      </c>
    </row>
    <row r="6">
      <c r="A6" t="inlineStr">
        <is>
          <t>February</t>
        </is>
      </c>
      <c r="B6" s="2">
        <f>SUMIF(SalesTable[Month],A6,SalesTable[Sales Amount])</f>
        <v/>
      </c>
      <c r="C6" s="2" t="n">
        <v>4880000</v>
      </c>
      <c r="E6" t="inlineStr">
        <is>
          <t>Abuja</t>
        </is>
      </c>
      <c r="F6" s="2">
        <f>SUMIF(SalesTable[Region],E6,SalesTable[Sales Amount])</f>
        <v/>
      </c>
    </row>
    <row r="7">
      <c r="A7" t="inlineStr">
        <is>
          <t>March</t>
        </is>
      </c>
      <c r="B7" s="2">
        <f>SUMIF(SalesTable[Month],A7,SalesTable[Sales Amount])</f>
        <v/>
      </c>
      <c r="C7" s="2" t="n">
        <v>5600000</v>
      </c>
      <c r="E7" t="inlineStr">
        <is>
          <t>Port Harcourt</t>
        </is>
      </c>
      <c r="F7" s="2">
        <f>SUMIF(SalesTable[Region],E7,SalesTable[Sales Amount])</f>
        <v/>
      </c>
    </row>
    <row r="8">
      <c r="A8" t="inlineStr">
        <is>
          <t>April</t>
        </is>
      </c>
      <c r="B8" s="2">
        <f>SUMIF(SalesTable[Month],A8,SalesTable[Sales Amount])</f>
        <v/>
      </c>
      <c r="C8" s="2" t="n">
        <v>6040000</v>
      </c>
    </row>
    <row r="9">
      <c r="A9" t="inlineStr">
        <is>
          <t>May</t>
        </is>
      </c>
      <c r="B9" s="2">
        <f>SUMIF(SalesTable[Month],A9,SalesTable[Sales Amount])</f>
        <v/>
      </c>
      <c r="C9" s="2" t="n">
        <v>5640000</v>
      </c>
    </row>
    <row r="10">
      <c r="A10" t="inlineStr">
        <is>
          <t>June</t>
        </is>
      </c>
      <c r="B10" s="2">
        <f>SUMIF(SalesTable[Month],A10,SalesTable[Sales Amount])</f>
        <v/>
      </c>
      <c r="C10" s="2" t="n">
        <v>5440000</v>
      </c>
    </row>
    <row r="12">
      <c r="A12" s="4" t="inlineStr">
        <is>
          <t>Total Sales by Product</t>
        </is>
      </c>
      <c r="E12" s="4" t="inlineStr">
        <is>
          <t>Total Sales by Salesperson</t>
        </is>
      </c>
    </row>
    <row r="13">
      <c r="A13" t="inlineStr">
        <is>
          <t>Product</t>
        </is>
      </c>
      <c r="B13" t="inlineStr">
        <is>
          <t>Total Sales</t>
        </is>
      </c>
      <c r="E13" t="inlineStr">
        <is>
          <t>Salesperson</t>
        </is>
      </c>
      <c r="F13" t="inlineStr">
        <is>
          <t>Total Sales</t>
        </is>
      </c>
    </row>
    <row r="14">
      <c r="A14" t="inlineStr">
        <is>
          <t>Laptop</t>
        </is>
      </c>
      <c r="B14" s="2">
        <f>SUMIF(SalesTable[Product],A14,SalesTable[Sales Amount])</f>
        <v/>
      </c>
      <c r="E14" t="inlineStr">
        <is>
          <t>Amina</t>
        </is>
      </c>
      <c r="F14" s="2">
        <f>SUMIF(SalesTable[Salesperson],E14,SalesTable[Sales Amount])</f>
        <v/>
      </c>
    </row>
    <row r="15">
      <c r="A15" t="inlineStr">
        <is>
          <t>Phone</t>
        </is>
      </c>
      <c r="B15" s="2">
        <f>SUMIF(SalesTable[Product],A15,SalesTable[Sales Amount])</f>
        <v/>
      </c>
      <c r="E15" t="inlineStr">
        <is>
          <t>Chika</t>
        </is>
      </c>
      <c r="F15" s="2">
        <f>SUMIF(SalesTable[Salesperson],E15,SalesTable[Sales Amount])</f>
        <v/>
      </c>
    </row>
    <row r="16">
      <c r="A16" t="inlineStr">
        <is>
          <t>Printer</t>
        </is>
      </c>
      <c r="B16" s="2">
        <f>SUMIF(SalesTable[Product],A16,SalesTable[Sales Amount])</f>
        <v/>
      </c>
      <c r="E16" t="inlineStr">
        <is>
          <t>David</t>
        </is>
      </c>
      <c r="F16" s="2">
        <f>SUMIF(SalesTable[Salesperson],E16,SalesTable[Sales Amount])</f>
        <v/>
      </c>
    </row>
    <row r="17">
      <c r="E17" t="inlineStr">
        <is>
          <t>Musa</t>
        </is>
      </c>
      <c r="F17" s="2">
        <f>SUMIF(SalesTable[Salesperson],E17,SalesTable[Sales Amount])</f>
        <v/>
      </c>
    </row>
    <row r="18">
      <c r="E18" t="inlineStr">
        <is>
          <t>Tunde</t>
        </is>
      </c>
      <c r="F18" s="2">
        <f>SUMIF(SalesTable[Salesperson],E18,SalesTable[Sales Amount])</f>
        <v/>
      </c>
    </row>
    <row r="22">
      <c r="A22" s="1" t="inlineStr">
        <is>
          <t>KPI</t>
        </is>
      </c>
      <c r="B22" s="1" t="inlineStr">
        <is>
          <t>Value</t>
        </is>
      </c>
    </row>
    <row r="23">
      <c r="A23" t="inlineStr">
        <is>
          <t>Total Sales</t>
        </is>
      </c>
      <c r="B23" s="2">
        <f>SUM(SalesTable[Sales Amount])</f>
        <v/>
      </c>
    </row>
    <row r="24">
      <c r="A24" t="inlineStr">
        <is>
          <t>Total Quantity Sold</t>
        </is>
      </c>
      <c r="B24" s="5">
        <f>SUM(SalesTable[Quantity])</f>
        <v/>
      </c>
    </row>
    <row r="25">
      <c r="A25" t="inlineStr">
        <is>
          <t>Average Sales</t>
        </is>
      </c>
      <c r="B25" s="2">
        <f>AVERAGE(SalesTable[Sales Amount])</f>
        <v/>
      </c>
    </row>
    <row r="26">
      <c r="A26" t="inlineStr">
        <is>
          <t>Best-Selling Product</t>
        </is>
      </c>
      <c r="B26">
        <f>INDEX(A14:A16,MATCH(MAX(B14:B16),B14:B16,0))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6" t="inlineStr">
        <is>
          <t>SALES PERFORMANCE DASHBOARD</t>
        </is>
      </c>
    </row>
    <row r="2"/>
    <row r="4">
      <c r="A4" s="7" t="inlineStr">
        <is>
          <t>Total Sales</t>
        </is>
      </c>
      <c r="D4" s="7" t="inlineStr">
        <is>
          <t>Total Quantity</t>
        </is>
      </c>
      <c r="G4" s="7" t="inlineStr">
        <is>
          <t>Average Sales</t>
        </is>
      </c>
      <c r="J4" s="7" t="inlineStr">
        <is>
          <t>Best-Selling Product</t>
        </is>
      </c>
    </row>
    <row r="5">
      <c r="A5" s="8">
        <f>'Sales_Summary'!B23</f>
        <v/>
      </c>
      <c r="D5" s="9">
        <f>'Sales_Summary'!B24</f>
        <v/>
      </c>
      <c r="G5" s="8">
        <f>'Sales_Summary'!B25</f>
        <v/>
      </c>
      <c r="J5" s="10">
        <f>'Sales_Summary'!B26</f>
        <v/>
      </c>
    </row>
    <row r="6"/>
    <row r="8">
      <c r="A8" s="4" t="inlineStr">
        <is>
          <t>Region Filter</t>
        </is>
      </c>
      <c r="D8" s="4" t="inlineStr">
        <is>
          <t>Product Filter</t>
        </is>
      </c>
      <c r="G8" s="4" t="inlineStr">
        <is>
          <t>Salesperson Filter</t>
        </is>
      </c>
    </row>
    <row r="9">
      <c r="A9" s="11" t="inlineStr">
        <is>
          <t>All</t>
        </is>
      </c>
      <c r="D9" s="11" t="inlineStr">
        <is>
          <t>All</t>
        </is>
      </c>
      <c r="G9" s="11" t="inlineStr">
        <is>
          <t>All</t>
        </is>
      </c>
    </row>
  </sheetData>
  <mergeCells count="9">
    <mergeCell ref="D5:F6"/>
    <mergeCell ref="A5:C6"/>
    <mergeCell ref="G5:I6"/>
    <mergeCell ref="D4:F4"/>
    <mergeCell ref="A1:L2"/>
    <mergeCell ref="J5:L6"/>
    <mergeCell ref="G4:I4"/>
    <mergeCell ref="J4:L4"/>
    <mergeCell ref="A4:C4"/>
  </mergeCells>
  <dataValidations count="3">
    <dataValidation sqref="A9" showDropDown="0" showInputMessage="0" showErrorMessage="0" allowBlank="0" type="list">
      <formula1>"All,Lagos,Abuja,Port Harcourt"</formula1>
    </dataValidation>
    <dataValidation sqref="D9" showDropDown="0" showInputMessage="0" showErrorMessage="0" allowBlank="0" type="list">
      <formula1>"All,Laptop,Phone,Printer"</formula1>
    </dataValidation>
    <dataValidation sqref="G9" showDropDown="0" showInputMessage="0" showErrorMessage="0" allowBlank="0" type="list">
      <formula1>"All,Amina,Chika,David,Musa,Tunde"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</cols>
  <sheetData>
    <row r="1">
      <c r="A1" s="3" t="inlineStr">
        <is>
          <t>EXERCISE 2 — STUDENT ACADEMIC PERFORMANCE DASHBOARD</t>
        </is>
      </c>
    </row>
    <row r="3">
      <c r="A3" t="inlineStr">
        <is>
          <t>Table 1.2 (student data) was not included in the supplied images.</t>
        </is>
      </c>
    </row>
    <row r="4">
      <c r="A4" t="inlineStr">
        <is>
          <t>Paste Table 1.2 below. Average Score and Performance Grade formulas are already prepared.</t>
        </is>
      </c>
    </row>
    <row r="6">
      <c r="A6" s="1" t="inlineStr">
        <is>
          <t>Student</t>
        </is>
      </c>
      <c r="B6" s="1" t="inlineStr">
        <is>
          <t>Class</t>
        </is>
      </c>
      <c r="C6" s="1" t="inlineStr">
        <is>
          <t>Gender</t>
        </is>
      </c>
      <c r="D6" s="1" t="inlineStr">
        <is>
          <t>Mathematics</t>
        </is>
      </c>
      <c r="E6" s="1" t="inlineStr">
        <is>
          <t>English</t>
        </is>
      </c>
      <c r="F6" s="1" t="inlineStr">
        <is>
          <t>Statistics</t>
        </is>
      </c>
      <c r="G6" s="1" t="inlineStr">
        <is>
          <t>Average Score</t>
        </is>
      </c>
      <c r="H6" s="1" t="inlineStr">
        <is>
          <t>Performance Grade</t>
        </is>
      </c>
    </row>
    <row r="7">
      <c r="G7" s="12">
        <f>IF(COUNTA(D7:F7)=0,"",AVERAGE(D7:F7))</f>
        <v/>
      </c>
      <c r="H7">
        <f>IF(G7="","",IF(G7&gt;=70,"Excellent",IF(G7&gt;=60,"Good",IF(G7&gt;=50,"Average","Poor"))))</f>
        <v/>
      </c>
    </row>
    <row r="8">
      <c r="G8" s="12">
        <f>IF(COUNTA(D8:F8)=0,"",AVERAGE(D8:F8))</f>
        <v/>
      </c>
      <c r="H8">
        <f>IF(G8="","",IF(G8&gt;=70,"Excellent",IF(G8&gt;=60,"Good",IF(G8&gt;=50,"Average","Poor"))))</f>
        <v/>
      </c>
    </row>
    <row r="9">
      <c r="G9" s="12">
        <f>IF(COUNTA(D9:F9)=0,"",AVERAGE(D9:F9))</f>
        <v/>
      </c>
      <c r="H9">
        <f>IF(G9="","",IF(G9&gt;=70,"Excellent",IF(G9&gt;=60,"Good",IF(G9&gt;=50,"Average","Poor"))))</f>
        <v/>
      </c>
    </row>
    <row r="10">
      <c r="G10" s="12">
        <f>IF(COUNTA(D10:F10)=0,"",AVERAGE(D10:F10))</f>
        <v/>
      </c>
      <c r="H10">
        <f>IF(G10="","",IF(G10&gt;=70,"Excellent",IF(G10&gt;=60,"Good",IF(G10&gt;=50,"Average","Poor"))))</f>
        <v/>
      </c>
    </row>
    <row r="11">
      <c r="G11" s="12">
        <f>IF(COUNTA(D11:F11)=0,"",AVERAGE(D11:F11))</f>
        <v/>
      </c>
      <c r="H11">
        <f>IF(G11="","",IF(G11&gt;=70,"Excellent",IF(G11&gt;=60,"Good",IF(G11&gt;=50,"Average","Poor"))))</f>
        <v/>
      </c>
    </row>
    <row r="12">
      <c r="G12" s="12">
        <f>IF(COUNTA(D12:F12)=0,"",AVERAGE(D12:F12))</f>
        <v/>
      </c>
      <c r="H12">
        <f>IF(G12="","",IF(G12&gt;=70,"Excellent",IF(G12&gt;=60,"Good",IF(G12&gt;=50,"Average","Poor"))))</f>
        <v/>
      </c>
    </row>
    <row r="13">
      <c r="G13" s="12">
        <f>IF(COUNTA(D13:F13)=0,"",AVERAGE(D13:F13))</f>
        <v/>
      </c>
      <c r="H13">
        <f>IF(G13="","",IF(G13&gt;=70,"Excellent",IF(G13&gt;=60,"Good",IF(G13&gt;=50,"Average","Poor"))))</f>
        <v/>
      </c>
    </row>
    <row r="14">
      <c r="G14" s="12">
        <f>IF(COUNTA(D14:F14)=0,"",AVERAGE(D14:F14))</f>
        <v/>
      </c>
      <c r="H14">
        <f>IF(G14="","",IF(G14&gt;=70,"Excellent",IF(G14&gt;=60,"Good",IF(G14&gt;=50,"Average","Poor"))))</f>
        <v/>
      </c>
    </row>
    <row r="15">
      <c r="G15" s="12">
        <f>IF(COUNTA(D15:F15)=0,"",AVERAGE(D15:F15))</f>
        <v/>
      </c>
      <c r="H15">
        <f>IF(G15="","",IF(G15&gt;=70,"Excellent",IF(G15&gt;=60,"Good",IF(G15&gt;=50,"Average","Poor"))))</f>
        <v/>
      </c>
    </row>
    <row r="16">
      <c r="G16" s="12">
        <f>IF(COUNTA(D16:F16)=0,"",AVERAGE(D16:F16))</f>
        <v/>
      </c>
      <c r="H16">
        <f>IF(G16="","",IF(G16&gt;=70,"Excellent",IF(G16&gt;=60,"Good",IF(G16&gt;=50,"Average","Poor"))))</f>
        <v/>
      </c>
    </row>
    <row r="17">
      <c r="G17" s="12">
        <f>IF(COUNTA(D17:F17)=0,"",AVERAGE(D17:F17))</f>
        <v/>
      </c>
      <c r="H17">
        <f>IF(G17="","",IF(G17&gt;=70,"Excellent",IF(G17&gt;=60,"Good",IF(G17&gt;=50,"Average","Poor"))))</f>
        <v/>
      </c>
    </row>
    <row r="18">
      <c r="G18" s="12">
        <f>IF(COUNTA(D18:F18)=0,"",AVERAGE(D18:F18))</f>
        <v/>
      </c>
      <c r="H18">
        <f>IF(G18="","",IF(G18&gt;=70,"Excellent",IF(G18&gt;=60,"Good",IF(G18&gt;=50,"Average","Poor"))))</f>
        <v/>
      </c>
    </row>
    <row r="19">
      <c r="G19" s="12">
        <f>IF(COUNTA(D19:F19)=0,"",AVERAGE(D19:F19))</f>
        <v/>
      </c>
      <c r="H19">
        <f>IF(G19="","",IF(G19&gt;=70,"Excellent",IF(G19&gt;=60,"Good",IF(G19&gt;=50,"Average","Poor"))))</f>
        <v/>
      </c>
    </row>
    <row r="20">
      <c r="G20" s="12">
        <f>IF(COUNTA(D20:F20)=0,"",AVERAGE(D20:F20))</f>
        <v/>
      </c>
      <c r="H20">
        <f>IF(G20="","",IF(G20&gt;=70,"Excellent",IF(G20&gt;=60,"Good",IF(G20&gt;=50,"Average","Poor"))))</f>
        <v/>
      </c>
    </row>
    <row r="21">
      <c r="G21" s="12">
        <f>IF(COUNTA(D21:F21)=0,"",AVERAGE(D21:F21))</f>
        <v/>
      </c>
      <c r="H21">
        <f>IF(G21="","",IF(G21&gt;=70,"Excellent",IF(G21&gt;=60,"Good",IF(G21&gt;=50,"Average","Poor"))))</f>
        <v/>
      </c>
    </row>
    <row r="22">
      <c r="G22" s="12">
        <f>IF(COUNTA(D22:F22)=0,"",AVERAGE(D22:F22))</f>
        <v/>
      </c>
      <c r="H22">
        <f>IF(G22="","",IF(G22&gt;=70,"Excellent",IF(G22&gt;=60,"Good",IF(G22&gt;=50,"Average","Poor"))))</f>
        <v/>
      </c>
    </row>
    <row r="23">
      <c r="G23" s="12">
        <f>IF(COUNTA(D23:F23)=0,"",AVERAGE(D23:F23))</f>
        <v/>
      </c>
      <c r="H23">
        <f>IF(G23="","",IF(G23&gt;=70,"Excellent",IF(G23&gt;=60,"Good",IF(G23&gt;=50,"Average","Poor"))))</f>
        <v/>
      </c>
    </row>
    <row r="24">
      <c r="G24" s="12">
        <f>IF(COUNTA(D24:F24)=0,"",AVERAGE(D24:F24))</f>
        <v/>
      </c>
      <c r="H24">
        <f>IF(G24="","",IF(G24&gt;=70,"Excellent",IF(G24&gt;=60,"Good",IF(G24&gt;=50,"Average","Poor"))))</f>
        <v/>
      </c>
    </row>
    <row r="25">
      <c r="G25" s="12">
        <f>IF(COUNTA(D25:F25)=0,"",AVERAGE(D25:F25))</f>
        <v/>
      </c>
      <c r="H25">
        <f>IF(G25="","",IF(G25&gt;=70,"Excellent",IF(G25&gt;=60,"Good",IF(G25&gt;=50,"Average","Poor"))))</f>
        <v/>
      </c>
    </row>
    <row r="26">
      <c r="G26" s="12">
        <f>IF(COUNTA(D26:F26)=0,"",AVERAGE(D26:F26))</f>
        <v/>
      </c>
      <c r="H26">
        <f>IF(G26="","",IF(G26&gt;=70,"Excellent",IF(G26&gt;=60,"Good",IF(G26&gt;=50,"Average","Poor"))))</f>
        <v/>
      </c>
    </row>
    <row r="27">
      <c r="G27" s="12">
        <f>IF(COUNTA(D27:F27)=0,"",AVERAGE(D27:F27))</f>
        <v/>
      </c>
      <c r="H27">
        <f>IF(G27="","",IF(G27&gt;=70,"Excellent",IF(G27&gt;=60,"Good",IF(G27&gt;=50,"Average","Poor"))))</f>
        <v/>
      </c>
    </row>
    <row r="28">
      <c r="G28" s="12">
        <f>IF(COUNTA(D28:F28)=0,"",AVERAGE(D28:F28))</f>
        <v/>
      </c>
      <c r="H28">
        <f>IF(G28="","",IF(G28&gt;=70,"Excellent",IF(G28&gt;=60,"Good",IF(G28&gt;=50,"Average","Poor"))))</f>
        <v/>
      </c>
    </row>
    <row r="29">
      <c r="G29" s="12">
        <f>IF(COUNTA(D29:F29)=0,"",AVERAGE(D29:F29))</f>
        <v/>
      </c>
      <c r="H29">
        <f>IF(G29="","",IF(G29&gt;=70,"Excellent",IF(G29&gt;=60,"Good",IF(G29&gt;=50,"Average","Poor"))))</f>
        <v/>
      </c>
    </row>
    <row r="30">
      <c r="G30" s="12">
        <f>IF(COUNTA(D30:F30)=0,"",AVERAGE(D30:F30))</f>
        <v/>
      </c>
      <c r="H30">
        <f>IF(G30="","",IF(G30&gt;=70,"Excellent",IF(G30&gt;=60,"Good",IF(G30&gt;=50,"Average","Poor"))))</f>
        <v/>
      </c>
    </row>
    <row r="31">
      <c r="G31" s="12">
        <f>IF(COUNTA(D31:F31)=0,"",AVERAGE(D31:F31))</f>
        <v/>
      </c>
      <c r="H31">
        <f>IF(G31="","",IF(G31&gt;=70,"Excellent",IF(G31&gt;=60,"Good",IF(G31&gt;=50,"Average","Poor"))))</f>
        <v/>
      </c>
    </row>
  </sheetData>
  <mergeCells count="3">
    <mergeCell ref="A4:H4"/>
    <mergeCell ref="A3:H3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3" t="inlineStr">
        <is>
          <t>EXERCISE 2 — DASHBOARD REQUIREMENTS</t>
        </is>
      </c>
    </row>
    <row r="3">
      <c r="A3" s="1" t="inlineStr">
        <is>
          <t>Task</t>
        </is>
      </c>
      <c r="B3" s="1" t="inlineStr">
        <is>
          <t>Excel setup</t>
        </is>
      </c>
    </row>
    <row r="4">
      <c r="A4" t="inlineStr">
        <is>
          <t>Average score by class</t>
        </is>
      </c>
      <c r="B4" t="inlineStr">
        <is>
          <t>PivotTable: Rows = Class; Values = Average of Average Score</t>
        </is>
      </c>
    </row>
    <row r="5">
      <c r="A5" t="inlineStr">
        <is>
          <t>Average score by gender</t>
        </is>
      </c>
      <c r="B5" t="inlineStr">
        <is>
          <t>PivotTable: Rows = Gender; Values = Average of Average Score</t>
        </is>
      </c>
    </row>
    <row r="6">
      <c r="A6" t="inlineStr">
        <is>
          <t>Average Mathematics score by class</t>
        </is>
      </c>
      <c r="B6" t="inlineStr">
        <is>
          <t>PivotTable: Rows = Class; Values = Average of Mathematics</t>
        </is>
      </c>
    </row>
    <row r="7">
      <c r="A7" t="inlineStr">
        <is>
          <t>Number of students by performance grade</t>
        </is>
      </c>
      <c r="B7" t="inlineStr">
        <is>
          <t>PivotTable: Rows = Performance Grade; Values = Count of Student</t>
        </is>
      </c>
    </row>
    <row r="8">
      <c r="A8" t="inlineStr">
        <is>
          <t>Column chart</t>
        </is>
      </c>
      <c r="B8" t="inlineStr">
        <is>
          <t>Average score by class</t>
        </is>
      </c>
    </row>
    <row r="9">
      <c r="A9" t="inlineStr">
        <is>
          <t>Bar chart</t>
        </is>
      </c>
      <c r="B9" t="inlineStr">
        <is>
          <t>Average score by gender</t>
        </is>
      </c>
    </row>
    <row r="10">
      <c r="A10" t="inlineStr">
        <is>
          <t>Pie/Doughnut chart</t>
        </is>
      </c>
      <c r="B10" t="inlineStr">
        <is>
          <t>Performance grade distribution</t>
        </is>
      </c>
    </row>
    <row r="11">
      <c r="A11" t="inlineStr">
        <is>
          <t>Clustered column chart</t>
        </is>
      </c>
      <c r="B11" t="inlineStr">
        <is>
          <t>Mathematics + English + Statistics by Class</t>
        </is>
      </c>
    </row>
    <row r="12">
      <c r="A12" t="inlineStr">
        <is>
          <t>Slicers</t>
        </is>
      </c>
      <c r="B12" t="inlineStr">
        <is>
          <t>Class, Gender, Performance Grade</t>
        </is>
      </c>
    </row>
    <row r="13">
      <c r="A13" t="inlineStr">
        <is>
          <t>KPI — Total Students</t>
        </is>
      </c>
      <c r="B13">
        <f>COUNTA(StudentTable[Student])</f>
        <v/>
      </c>
    </row>
    <row r="14">
      <c r="A14" t="inlineStr">
        <is>
          <t>KPI — Overall Average</t>
        </is>
      </c>
      <c r="B14">
        <f>AVERAGE(StudentTable[Average Score])</f>
        <v/>
      </c>
    </row>
    <row r="15">
      <c r="A15" t="inlineStr">
        <is>
          <t>KPI — Highest Average</t>
        </is>
      </c>
      <c r="B15">
        <f>MAX(StudentTable[Average Score])</f>
        <v/>
      </c>
    </row>
    <row r="16">
      <c r="A16" t="inlineStr">
        <is>
          <t>KPI — Excellent Students</t>
        </is>
      </c>
      <c r="B16">
        <f>COUNTIF(StudentTable[Performance Grade],"Excellent")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2026-08-17T22:01:57Z</dcterms:created>
  <dcterms:modified xmlns:dcterms="http://purl.org/dc/terms/" xmlns:xsi="http://www.w3.org/2001/XMLSchema-instance" xsi:type="dcterms:W3CDTF">2026-08-17T22:01:57Z</dcterms:modified>
</cp:coreProperties>
</file>